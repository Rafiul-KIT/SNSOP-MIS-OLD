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48" windowWidth="14808" windowHeight="7776" tabRatio="875"/>
  </bookViews>
  <sheets>
    <sheet name="Kator Centre" sheetId="1" r:id="rId1"/>
  </sheets>
  <calcPr calcId="152511"/>
</workbook>
</file>

<file path=xl/calcChain.xml><?xml version="1.0" encoding="utf-8"?>
<calcChain xmlns="http://schemas.openxmlformats.org/spreadsheetml/2006/main">
  <c r="E23" i="1" l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G24" i="1" l="1"/>
</calcChain>
</file>

<file path=xl/sharedStrings.xml><?xml version="1.0" encoding="utf-8"?>
<sst xmlns="http://schemas.openxmlformats.org/spreadsheetml/2006/main" count="50" uniqueCount="34">
  <si>
    <t>Kator Centre</t>
  </si>
  <si>
    <t>Road 3</t>
  </si>
  <si>
    <t>N 04⁰49'48.3"</t>
  </si>
  <si>
    <t>N 04⁰49'52.5"</t>
  </si>
  <si>
    <t>E 031⁰35'50.3"</t>
  </si>
  <si>
    <t>E 031⁰36'04.0"</t>
  </si>
  <si>
    <t>Tools</t>
  </si>
  <si>
    <t>Ordinary Hoes(Cock Brand) with handles</t>
  </si>
  <si>
    <t>Pcs</t>
  </si>
  <si>
    <t>Fork hoes with handle</t>
  </si>
  <si>
    <t>Pick axes ( martox ) with handle</t>
  </si>
  <si>
    <t>Rakes ( heavy duty ) with metallic handle</t>
  </si>
  <si>
    <t>Spades with metallic handle</t>
  </si>
  <si>
    <t>Shovels with metallic handle</t>
  </si>
  <si>
    <t xml:space="preserve">Slashes </t>
  </si>
  <si>
    <t xml:space="preserve">Dust  masks </t>
  </si>
  <si>
    <t>Rubber Safety Gloves (Chemical Resistant)</t>
  </si>
  <si>
    <t>Pairs</t>
  </si>
  <si>
    <t>Leather Safety Gloves</t>
  </si>
  <si>
    <t>Gum boots</t>
  </si>
  <si>
    <t>Jericans 20L (White Colour)</t>
  </si>
  <si>
    <t>Jericans 10L (White Colour)</t>
  </si>
  <si>
    <t>Jerricans 5L (White Colour)</t>
  </si>
  <si>
    <t>Metallic alluminium Cups</t>
  </si>
  <si>
    <t>Unit</t>
  </si>
  <si>
    <t>Description</t>
  </si>
  <si>
    <t>Distribution per grp</t>
  </si>
  <si>
    <t>Number of Tools</t>
  </si>
  <si>
    <t>Allocated beneficiaries for road 3</t>
  </si>
  <si>
    <t>Register books( FIS- Manuscript 2QR</t>
  </si>
  <si>
    <t>Ledger books  ( FIS-Manuscript 2QR(for attendancy)</t>
  </si>
  <si>
    <t>Branded Reflective jackets</t>
  </si>
  <si>
    <t>Unit 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</si>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</sst>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1" applyFont="1" applyBorder="1" applyAlignment="1">
      <alignment vertical="center"/>
    </xf>
    <xf numFmtId="0" fontId="3" fillId="0" borderId="1" xfId="1" applyFont="1" applyBorder="1"/>
    <xf numFmtId="1" fontId="0" fillId="0" borderId="1" xfId="0" applyNumberFormat="1" applyBorder="1"/>
    <xf numFmtId="0" fontId="2" fillId="0" borderId="4" xfId="0" applyFont="1" applyFill="1" applyBorder="1"/>
    <xf numFmtId="0" fontId="2" fillId="0" borderId="1" xfId="0" applyFont="1" applyFill="1" applyBorder="1" applyAlignment="1">
      <alignment horizontal="center" wrapText="1"/>
    </xf>
    <xf numFmtId="0" fontId="3" fillId="0" borderId="0" xfId="1" applyFont="1" applyFill="1" applyBorder="1"/>
    <xf numFmtId="0" fontId="0" fillId="0" borderId="0" xfId="0" applyBorder="1"/>
    <xf numFmtId="0" fontId="3" fillId="0" borderId="0" xfId="1" applyFont="1" applyBorder="1" applyAlignment="1">
      <alignment vertical="center"/>
    </xf>
    <xf numFmtId="1" fontId="0" fillId="0" borderId="0" xfId="0" applyNumberFormat="1" applyBorder="1"/>
    <xf numFmtId="0" fontId="3" fillId="0" borderId="1" xfId="1" applyFont="1" applyFill="1" applyBorder="1"/>
    <xf numFmtId="0" fontId="2" fillId="0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" fontId="2" fillId="0" borderId="1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tabSelected="1" zoomScaleNormal="100" zoomScaleSheetLayoutView="82" workbookViewId="0">
      <selection activeCell="H6" sqref="H6"/>
    </sheetView>
  </sheetViews>
  <sheetFormatPr defaultRowHeight="14.4" x14ac:dyDescent="0.3"/>
  <cols>
    <col min="2" max="2" width="38.6640625" customWidth="1"/>
    <col min="3" max="3" width="18.33203125" customWidth="1"/>
    <col min="4" max="4" width="18.5546875" customWidth="1"/>
    <col min="5" max="5" width="24" customWidth="1"/>
    <col min="6" max="6" width="14.5546875" customWidth="1"/>
    <col min="7" max="7" width="17.33203125" customWidth="1"/>
    <col min="8" max="8" width="19" customWidth="1"/>
    <col min="9" max="9" width="21.5546875" customWidth="1"/>
    <col min="10" max="10" width="18.109375" customWidth="1"/>
    <col min="11" max="11" width="25" customWidth="1"/>
    <col min="12" max="12" width="18.6640625" customWidth="1"/>
  </cols>
  <sheetData>
    <row r="2" spans="1:8" x14ac:dyDescent="0.3">
      <c r="A2" s="15">
        <v>3</v>
      </c>
      <c r="B2" s="15" t="s">
        <v>0</v>
      </c>
      <c r="C2" s="15" t="s">
        <v>1</v>
      </c>
      <c r="D2" s="16">
        <v>1</v>
      </c>
      <c r="E2" s="15">
        <v>460</v>
      </c>
      <c r="F2" s="15">
        <v>10</v>
      </c>
      <c r="G2" s="2" t="s">
        <v>2</v>
      </c>
      <c r="H2" s="2" t="s">
        <v>3</v>
      </c>
    </row>
    <row r="3" spans="1:8" x14ac:dyDescent="0.3">
      <c r="A3" s="15"/>
      <c r="B3" s="15"/>
      <c r="C3" s="15"/>
      <c r="D3" s="17"/>
      <c r="E3" s="15"/>
      <c r="F3" s="15"/>
      <c r="G3" s="2" t="s">
        <v>4</v>
      </c>
      <c r="H3" s="2" t="s">
        <v>5</v>
      </c>
    </row>
    <row r="4" spans="1:8" ht="28.8" x14ac:dyDescent="0.3">
      <c r="A4" s="18" t="s">
        <v>6</v>
      </c>
      <c r="B4" s="18"/>
      <c r="C4" s="18"/>
      <c r="D4" s="18"/>
      <c r="E4" s="8" t="s">
        <v>28</v>
      </c>
      <c r="F4" s="3">
        <v>88</v>
      </c>
    </row>
    <row r="5" spans="1:8" ht="27" customHeight="1" x14ac:dyDescent="0.3">
      <c r="A5" s="3"/>
      <c r="B5" s="1" t="s">
        <v>25</v>
      </c>
      <c r="C5" s="1" t="s">
        <v>24</v>
      </c>
      <c r="D5" s="1" t="s">
        <v>26</v>
      </c>
      <c r="E5" s="7" t="s">
        <v>27</v>
      </c>
      <c r="F5" s="7" t="s">
        <v>32</v>
      </c>
      <c r="G5" s="14" t="s">
        <v>33</v>
      </c>
    </row>
    <row r="6" spans="1:8" ht="27" customHeight="1" x14ac:dyDescent="0.3">
      <c r="A6" s="3">
        <v>1</v>
      </c>
      <c r="B6" s="4" t="s">
        <v>7</v>
      </c>
      <c r="C6" s="4" t="s">
        <v>8</v>
      </c>
      <c r="D6" s="3">
        <v>6</v>
      </c>
      <c r="E6" s="6">
        <f>F4/25*D6</f>
        <v>21.12</v>
      </c>
      <c r="F6" s="3">
        <v>3.1</v>
      </c>
      <c r="G6" s="3">
        <f>E6*F6</f>
        <v>65.472000000000008</v>
      </c>
    </row>
    <row r="7" spans="1:8" ht="27" customHeight="1" x14ac:dyDescent="0.3">
      <c r="A7" s="3">
        <v>2</v>
      </c>
      <c r="B7" s="4" t="s">
        <v>9</v>
      </c>
      <c r="C7" s="4" t="s">
        <v>8</v>
      </c>
      <c r="D7" s="3">
        <v>4</v>
      </c>
      <c r="E7" s="6">
        <f>F4/25*D7</f>
        <v>14.08</v>
      </c>
      <c r="F7" s="3">
        <v>3.2</v>
      </c>
      <c r="G7" s="3">
        <f t="shared" ref="G7:G23" si="0">E7*F7</f>
        <v>45.056000000000004</v>
      </c>
    </row>
    <row r="8" spans="1:8" ht="27" customHeight="1" x14ac:dyDescent="0.3">
      <c r="A8" s="3">
        <v>3</v>
      </c>
      <c r="B8" s="4" t="s">
        <v>10</v>
      </c>
      <c r="C8" s="4" t="s">
        <v>8</v>
      </c>
      <c r="D8" s="3">
        <v>6</v>
      </c>
      <c r="E8" s="6">
        <f>F4/25*D8</f>
        <v>21.12</v>
      </c>
      <c r="F8" s="3">
        <v>4.3499999999999996</v>
      </c>
      <c r="G8" s="3">
        <f t="shared" si="0"/>
        <v>91.872</v>
      </c>
    </row>
    <row r="9" spans="1:8" ht="27" customHeight="1" x14ac:dyDescent="0.3">
      <c r="A9" s="3">
        <v>4</v>
      </c>
      <c r="B9" s="4" t="s">
        <v>11</v>
      </c>
      <c r="C9" s="4" t="s">
        <v>8</v>
      </c>
      <c r="D9" s="3">
        <v>4</v>
      </c>
      <c r="E9" s="6">
        <f>F4/25*D9</f>
        <v>14.08</v>
      </c>
      <c r="F9" s="3">
        <v>4.2</v>
      </c>
      <c r="G9" s="3">
        <f t="shared" si="0"/>
        <v>59.136000000000003</v>
      </c>
    </row>
    <row r="10" spans="1:8" ht="27" customHeight="1" x14ac:dyDescent="0.3">
      <c r="A10" s="3">
        <v>5</v>
      </c>
      <c r="B10" s="4" t="s">
        <v>12</v>
      </c>
      <c r="C10" s="4" t="s">
        <v>8</v>
      </c>
      <c r="D10" s="3">
        <v>3</v>
      </c>
      <c r="E10" s="6">
        <f>F4/25*D10</f>
        <v>10.56</v>
      </c>
      <c r="F10" s="3">
        <v>3.75</v>
      </c>
      <c r="G10" s="3">
        <f t="shared" si="0"/>
        <v>39.6</v>
      </c>
    </row>
    <row r="11" spans="1:8" ht="27" customHeight="1" x14ac:dyDescent="0.3">
      <c r="A11" s="3">
        <v>6</v>
      </c>
      <c r="B11" s="4" t="s">
        <v>13</v>
      </c>
      <c r="C11" s="4" t="s">
        <v>8</v>
      </c>
      <c r="D11" s="3">
        <v>3</v>
      </c>
      <c r="E11" s="6">
        <f>F4/25*D11</f>
        <v>10.56</v>
      </c>
      <c r="F11" s="3">
        <v>3.75</v>
      </c>
      <c r="G11" s="3">
        <f t="shared" si="0"/>
        <v>39.6</v>
      </c>
    </row>
    <row r="12" spans="1:8" ht="27" customHeight="1" x14ac:dyDescent="0.3">
      <c r="A12" s="3">
        <v>7</v>
      </c>
      <c r="B12" s="4" t="s">
        <v>14</v>
      </c>
      <c r="C12" s="4" t="s">
        <v>8</v>
      </c>
      <c r="D12" s="3">
        <v>2</v>
      </c>
      <c r="E12" s="6">
        <f>F4/25*D12</f>
        <v>7.04</v>
      </c>
      <c r="F12" s="3">
        <v>2</v>
      </c>
      <c r="G12" s="3">
        <f t="shared" si="0"/>
        <v>14.08</v>
      </c>
    </row>
    <row r="13" spans="1:8" ht="27" customHeight="1" x14ac:dyDescent="0.3">
      <c r="A13" s="3">
        <v>8</v>
      </c>
      <c r="B13" s="5" t="s">
        <v>15</v>
      </c>
      <c r="C13" s="4" t="s">
        <v>8</v>
      </c>
      <c r="D13" s="3">
        <v>23</v>
      </c>
      <c r="E13" s="6">
        <f>F4/25*D13</f>
        <v>80.959999999999994</v>
      </c>
      <c r="F13" s="3">
        <v>0.18</v>
      </c>
      <c r="G13" s="3">
        <f t="shared" si="0"/>
        <v>14.572799999999999</v>
      </c>
    </row>
    <row r="14" spans="1:8" ht="27" customHeight="1" x14ac:dyDescent="0.3">
      <c r="A14" s="3">
        <v>9</v>
      </c>
      <c r="B14" s="5" t="s">
        <v>16</v>
      </c>
      <c r="C14" s="4" t="s">
        <v>17</v>
      </c>
      <c r="D14" s="3">
        <v>8</v>
      </c>
      <c r="E14" s="6">
        <f>F4/25*D14</f>
        <v>28.16</v>
      </c>
      <c r="F14" s="3">
        <v>1.8</v>
      </c>
      <c r="G14" s="3">
        <f t="shared" si="0"/>
        <v>50.688000000000002</v>
      </c>
    </row>
    <row r="15" spans="1:8" ht="27" customHeight="1" x14ac:dyDescent="0.3">
      <c r="A15" s="3">
        <v>10</v>
      </c>
      <c r="B15" s="5" t="s">
        <v>18</v>
      </c>
      <c r="C15" s="4" t="s">
        <v>17</v>
      </c>
      <c r="D15" s="3">
        <v>12</v>
      </c>
      <c r="E15" s="6">
        <f>F4/25*D15</f>
        <v>42.24</v>
      </c>
      <c r="F15" s="3">
        <v>1.8</v>
      </c>
      <c r="G15" s="3">
        <f t="shared" si="0"/>
        <v>76.032000000000011</v>
      </c>
    </row>
    <row r="16" spans="1:8" ht="27" customHeight="1" x14ac:dyDescent="0.3">
      <c r="A16" s="3">
        <v>11</v>
      </c>
      <c r="B16" s="5" t="s">
        <v>19</v>
      </c>
      <c r="C16" s="4" t="s">
        <v>17</v>
      </c>
      <c r="D16" s="3">
        <v>23</v>
      </c>
      <c r="E16" s="6">
        <f>F4/25*D16</f>
        <v>80.959999999999994</v>
      </c>
      <c r="F16" s="3">
        <v>4.53</v>
      </c>
      <c r="G16" s="3">
        <f t="shared" si="0"/>
        <v>366.74880000000002</v>
      </c>
    </row>
    <row r="17" spans="1:7" ht="27" customHeight="1" x14ac:dyDescent="0.3">
      <c r="A17" s="3">
        <v>12</v>
      </c>
      <c r="B17" s="5" t="s">
        <v>20</v>
      </c>
      <c r="C17" s="4" t="s">
        <v>8</v>
      </c>
      <c r="D17" s="3">
        <v>1</v>
      </c>
      <c r="E17" s="6">
        <f>F4/25*D17</f>
        <v>3.52</v>
      </c>
      <c r="F17" s="3">
        <v>1.75</v>
      </c>
      <c r="G17" s="3">
        <f t="shared" si="0"/>
        <v>6.16</v>
      </c>
    </row>
    <row r="18" spans="1:7" ht="27" customHeight="1" x14ac:dyDescent="0.3">
      <c r="A18" s="3">
        <v>13</v>
      </c>
      <c r="B18" s="5" t="s">
        <v>21</v>
      </c>
      <c r="C18" s="4" t="s">
        <v>8</v>
      </c>
      <c r="D18" s="3">
        <v>1</v>
      </c>
      <c r="E18" s="6">
        <f>F4/25*D18</f>
        <v>3.52</v>
      </c>
      <c r="F18" s="3">
        <v>1.2</v>
      </c>
      <c r="G18" s="3">
        <f t="shared" si="0"/>
        <v>4.2240000000000002</v>
      </c>
    </row>
    <row r="19" spans="1:7" ht="27" customHeight="1" x14ac:dyDescent="0.3">
      <c r="A19" s="3">
        <v>14</v>
      </c>
      <c r="B19" s="5" t="s">
        <v>22</v>
      </c>
      <c r="C19" s="4" t="s">
        <v>8</v>
      </c>
      <c r="D19" s="3">
        <v>2</v>
      </c>
      <c r="E19" s="6">
        <f>F4/25*D19</f>
        <v>7.04</v>
      </c>
      <c r="F19" s="3">
        <v>1.2</v>
      </c>
      <c r="G19" s="3">
        <f t="shared" si="0"/>
        <v>8.4480000000000004</v>
      </c>
    </row>
    <row r="20" spans="1:7" ht="27" customHeight="1" x14ac:dyDescent="0.3">
      <c r="A20" s="3">
        <v>15</v>
      </c>
      <c r="B20" s="5" t="s">
        <v>23</v>
      </c>
      <c r="C20" s="4" t="s">
        <v>8</v>
      </c>
      <c r="D20" s="3">
        <v>1</v>
      </c>
      <c r="E20" s="6">
        <f>F4/25*D20</f>
        <v>3.52</v>
      </c>
      <c r="F20" s="3">
        <v>0.7</v>
      </c>
      <c r="G20" s="3">
        <f t="shared" si="0"/>
        <v>2.464</v>
      </c>
    </row>
    <row r="21" spans="1:7" ht="27" customHeight="1" x14ac:dyDescent="0.3">
      <c r="A21" s="3">
        <v>16</v>
      </c>
      <c r="B21" s="5" t="s">
        <v>29</v>
      </c>
      <c r="C21" s="4" t="s">
        <v>8</v>
      </c>
      <c r="D21" s="5">
        <v>1</v>
      </c>
      <c r="E21" s="6">
        <f>F4/25*D21</f>
        <v>3.52</v>
      </c>
      <c r="F21" s="3">
        <v>4</v>
      </c>
      <c r="G21" s="3">
        <f t="shared" si="0"/>
        <v>14.08</v>
      </c>
    </row>
    <row r="22" spans="1:7" ht="27" customHeight="1" x14ac:dyDescent="0.3">
      <c r="A22" s="3">
        <v>17</v>
      </c>
      <c r="B22" s="9" t="s">
        <v>30</v>
      </c>
      <c r="C22" s="4" t="s">
        <v>8</v>
      </c>
      <c r="D22" s="5">
        <v>1</v>
      </c>
      <c r="E22" s="6">
        <f>F4/25*D22</f>
        <v>3.52</v>
      </c>
      <c r="F22" s="3">
        <v>4</v>
      </c>
      <c r="G22" s="3">
        <f t="shared" si="0"/>
        <v>14.08</v>
      </c>
    </row>
    <row r="23" spans="1:7" ht="27" customHeight="1" x14ac:dyDescent="0.3">
      <c r="A23" s="3">
        <v>18</v>
      </c>
      <c r="B23" s="13" t="s">
        <v>31</v>
      </c>
      <c r="C23" s="4" t="s">
        <v>8</v>
      </c>
      <c r="D23" s="13">
        <v>24</v>
      </c>
      <c r="E23" s="6">
        <f>F4/25*D23</f>
        <v>84.48</v>
      </c>
      <c r="F23" s="3">
        <v>3.85</v>
      </c>
      <c r="G23" s="3">
        <f t="shared" si="0"/>
        <v>325.24800000000005</v>
      </c>
    </row>
    <row r="24" spans="1:7" ht="27" customHeight="1" x14ac:dyDescent="0.3">
      <c r="A24" s="10"/>
      <c r="B24" s="9"/>
      <c r="C24" s="11"/>
      <c r="D24" s="9"/>
      <c r="E24" s="12"/>
      <c r="F24" s="10"/>
      <c r="G24" s="19">
        <f>SUM(G6:G23)</f>
        <v>1237.5616000000002</v>
      </c>
    </row>
  </sheetData>
  <mergeCells count="7">
    <mergeCell ref="F2:F3"/>
    <mergeCell ref="A4:D4"/>
    <mergeCell ref="A2:A3"/>
    <mergeCell ref="B2:B3"/>
    <mergeCell ref="C2:C3"/>
    <mergeCell ref="D2:D3"/>
    <mergeCell ref="E2:E3"/>
  </mergeCells>
  <pageMargins left="0.7" right="0.7" top="0.75" bottom="0.7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Kator Centre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2018-05-12T13:16:33Z</dcterms:modified>
</cp:coreProperties>
</file>